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externalReferences>
    <externalReference r:id="rId4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<sst xmlns="http://schemas.openxmlformats.org/spreadsheetml/2006/main" count="56" uniqueCount="29">
  <si>
    <t xml:space="preserve">Republic of the Philippines</t>
  </si>
  <si>
    <t xml:space="preserve">Provincial Government of Aurora</t>
  </si>
  <si>
    <t xml:space="preserve">B A L E R</t>
  </si>
  <si>
    <t xml:space="preserve">The Management</t>
  </si>
  <si>
    <t xml:space="preserve">Provincial Dormitory</t>
  </si>
  <si>
    <t xml:space="preserve">Admission Slip</t>
  </si>
  <si>
    <t xml:space="preserve">Date:</t>
  </si>
  <si>
    <t xml:space="preserve">Admission No.: </t>
  </si>
  <si>
    <t xml:space="preserve">Admission for:       </t>
  </si>
  <si>
    <t xml:space="preserve">2nd Semester </t>
  </si>
  <si>
    <t xml:space="preserve">Room No.: </t>
  </si>
  <si>
    <t xml:space="preserve">School Year: </t>
  </si>
  <si>
    <t xml:space="preserve">Valid from:  </t>
  </si>
  <si>
    <t xml:space="preserve">to </t>
  </si>
  <si>
    <t xml:space="preserve">Family Name:</t>
  </si>
  <si>
    <t xml:space="preserve">Address: </t>
  </si>
  <si>
    <t xml:space="preserve">First Name:</t>
  </si>
  <si>
    <t xml:space="preserve">Contact No.:</t>
  </si>
  <si>
    <t xml:space="preserve">Middle Name:</t>
  </si>
  <si>
    <t xml:space="preserve">ECN:</t>
  </si>
  <si>
    <t xml:space="preserve">I have carefully read the rules and regulations </t>
  </si>
  <si>
    <t xml:space="preserve">Approved:</t>
  </si>
  <si>
    <t xml:space="preserve">of the dormitory and promised to obey all the time:</t>
  </si>
  <si>
    <t xml:space="preserve">________________________________</t>
  </si>
  <si>
    <t xml:space="preserve">ALLAN SANTOS DAVID</t>
  </si>
  <si>
    <t xml:space="preserve">Resident's Signature</t>
  </si>
  <si>
    <t xml:space="preserve">Dormitory Administrator</t>
  </si>
  <si>
    <t xml:space="preserve"> Management’s Copy</t>
  </si>
  <si>
    <t xml:space="preserve">Resident's Copy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</si>
</sst>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3409]mmmm\ dd&quot;, &quot;yyyy;@"/>
    <numFmt numFmtId="166" formatCode="0"/>
  </numFmts>
  <fonts count="2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Times New Roman"/>
      <family val="1"/>
      <charset val="1"/>
    </font>
    <font>
      <sz val="13"/>
      <color theme="1"/>
      <name val="Old English Text MT"/>
      <family val="4"/>
      <charset val="1"/>
    </font>
    <font>
      <sz val="11"/>
      <color theme="1"/>
      <name val="Baskerville Old Face"/>
      <family val="1"/>
      <charset val="1"/>
    </font>
    <font>
      <sz val="5"/>
      <color rgb="FF0105BD"/>
      <name val="Baskerville Old Face"/>
      <family val="1"/>
      <charset val="1"/>
    </font>
    <font>
      <sz val="22"/>
      <color theme="1"/>
      <name val="Old English Text MT"/>
      <family val="4"/>
      <charset val="1"/>
    </font>
    <font>
      <sz val="28"/>
      <color theme="1"/>
      <name val="Old English Text MT"/>
      <family val="4"/>
      <charset val="1"/>
    </font>
    <font>
      <b val="true"/>
      <sz val="13"/>
      <color theme="1"/>
      <name val="Century Gothic"/>
      <family val="2"/>
      <charset val="1"/>
    </font>
    <font>
      <b val="true"/>
      <sz val="16"/>
      <color theme="1"/>
      <name val="Century Gothic"/>
      <family val="2"/>
      <charset val="1"/>
    </font>
    <font>
      <b val="true"/>
      <sz val="13"/>
      <color rgb="FFFF0000"/>
      <name val="Century Gothic"/>
      <family val="2"/>
      <charset val="1"/>
    </font>
    <font>
      <b val="true"/>
      <sz val="15"/>
      <color rgb="FFFF0000"/>
      <name val="Century Gothic"/>
      <family val="2"/>
      <charset val="1"/>
    </font>
    <font>
      <sz val="12"/>
      <color theme="1"/>
      <name val="Century Gothic"/>
      <family val="2"/>
      <charset val="1"/>
    </font>
    <font>
      <b val="true"/>
      <sz val="12"/>
      <color rgb="FF0000FF"/>
      <name val="Century Gothic"/>
      <family val="2"/>
      <charset val="1"/>
    </font>
    <font>
      <b val="true"/>
      <sz val="12"/>
      <color theme="1"/>
      <name val="Century Gothic"/>
      <family val="2"/>
      <charset val="1"/>
    </font>
    <font>
      <sz val="12"/>
      <color theme="1"/>
      <name val="Aptos Narrow"/>
      <family val="2"/>
      <charset val="1"/>
    </font>
    <font>
      <sz val="12"/>
      <color rgb="FF0000FF"/>
      <name val="Century Gothic"/>
      <family val="2"/>
      <charset val="1"/>
    </font>
    <font>
      <sz val="8"/>
      <color theme="1"/>
      <name val="Century Gothic"/>
      <family val="2"/>
      <charset val="1"/>
    </font>
    <font>
      <b val="true"/>
      <sz val="10"/>
      <color theme="1"/>
      <name val="Century Gothic"/>
      <family val="2"/>
      <charset val="1"/>
    </font>
    <font>
      <sz val="11"/>
      <color theme="1"/>
      <name val="Century Gothic"/>
      <family val="2"/>
      <charset val="1"/>
    </font>
    <font>
      <sz val="10"/>
      <color rgb="FF0000FF"/>
      <name val="Century Gothic"/>
      <family val="2"/>
      <charset val="1"/>
    </font>
    <font>
      <b val="true"/>
      <sz val="12"/>
      <color rgb="FF0105BD"/>
      <name val="Century Gothic"/>
      <family val="2"/>
      <charset val="1"/>
    </font>
    <font>
      <b val="true"/>
      <sz val="10"/>
      <color rgb="FFFF0000"/>
      <name val="Century Gothic"/>
      <family val="2"/>
      <charset val="1"/>
    </font>
    <font>
      <b val="true"/>
      <sz val="8"/>
      <color theme="1"/>
      <name val="Century Gothic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DashDotDot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105BD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jpeg"/><Relationship Id="rId5" Type="http://schemas.openxmlformats.org/officeDocument/2006/relationships/image" Target="../media/image2.png"/><Relationship Id="rId6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28440</xdr:colOff>
      <xdr:row>1</xdr:row>
      <xdr:rowOff>19080</xdr:rowOff>
    </xdr:from>
    <xdr:to>
      <xdr:col>1</xdr:col>
      <xdr:colOff>609120</xdr:colOff>
      <xdr:row>3</xdr:row>
      <xdr:rowOff>190440</xdr:rowOff>
    </xdr:to>
    <xdr:pic>
      <xdr:nvPicPr>
        <xdr:cNvPr id="1" name="Picture 4"/>
        <xdr:cNvPicPr/>
      </xdr:nvPicPr>
      <xdr:blipFill>
        <a:blip r:embed="rId1"/>
        <a:srcRect l="7645" t="8599" r="6236" b="12873"/>
        <a:stretch/>
      </xdr:blipFill>
      <xdr:spPr>
        <a:xfrm>
          <a:off x="1342800" y="209520"/>
          <a:ext cx="580680" cy="58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394560</xdr:colOff>
      <xdr:row>1</xdr:row>
      <xdr:rowOff>25920</xdr:rowOff>
    </xdr:from>
    <xdr:to>
      <xdr:col>0</xdr:col>
      <xdr:colOff>394920</xdr:colOff>
      <xdr:row>1</xdr:row>
      <xdr:rowOff>205200</xdr:rowOff>
    </xdr:to>
    <xdr:pic>
      <xdr:nvPicPr>
        <xdr:cNvPr id="2" name="Picture 13"/>
        <xdr:cNvPicPr/>
      </xdr:nvPicPr>
      <xdr:blipFill>
        <a:blip r:embed="rId2"/>
        <a:stretch/>
      </xdr:blipFill>
      <xdr:spPr>
        <a:xfrm>
          <a:off x="394560" y="216360"/>
          <a:ext cx="360" cy="17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523800</xdr:colOff>
      <xdr:row>1</xdr:row>
      <xdr:rowOff>28440</xdr:rowOff>
    </xdr:from>
    <xdr:to>
      <xdr:col>0</xdr:col>
      <xdr:colOff>1314000</xdr:colOff>
      <xdr:row>3</xdr:row>
      <xdr:rowOff>189000</xdr:rowOff>
    </xdr:to>
    <xdr:pic>
      <xdr:nvPicPr>
        <xdr:cNvPr id="3" name="Picture 1"/>
        <xdr:cNvPicPr/>
      </xdr:nvPicPr>
      <xdr:blipFill>
        <a:blip r:embed="rId3"/>
        <a:stretch/>
      </xdr:blipFill>
      <xdr:spPr>
        <a:xfrm>
          <a:off x="523800" y="218880"/>
          <a:ext cx="790200" cy="570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28440</xdr:colOff>
      <xdr:row>33</xdr:row>
      <xdr:rowOff>19080</xdr:rowOff>
    </xdr:from>
    <xdr:to>
      <xdr:col>1</xdr:col>
      <xdr:colOff>609120</xdr:colOff>
      <xdr:row>36</xdr:row>
      <xdr:rowOff>9360</xdr:rowOff>
    </xdr:to>
    <xdr:pic>
      <xdr:nvPicPr>
        <xdr:cNvPr id="4" name="Picture 4"/>
        <xdr:cNvPicPr/>
      </xdr:nvPicPr>
      <xdr:blipFill>
        <a:blip r:embed="rId4"/>
        <a:srcRect l="7645" t="8599" r="6236" b="12873"/>
        <a:stretch/>
      </xdr:blipFill>
      <xdr:spPr>
        <a:xfrm>
          <a:off x="1342800" y="6291000"/>
          <a:ext cx="580680" cy="591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394920</xdr:colOff>
      <xdr:row>33</xdr:row>
      <xdr:rowOff>25920</xdr:rowOff>
    </xdr:from>
    <xdr:to>
      <xdr:col>0</xdr:col>
      <xdr:colOff>395280</xdr:colOff>
      <xdr:row>33</xdr:row>
      <xdr:rowOff>205200</xdr:rowOff>
    </xdr:to>
    <xdr:pic>
      <xdr:nvPicPr>
        <xdr:cNvPr id="5" name="Picture 13"/>
        <xdr:cNvPicPr/>
      </xdr:nvPicPr>
      <xdr:blipFill>
        <a:blip r:embed="rId5"/>
        <a:stretch/>
      </xdr:blipFill>
      <xdr:spPr>
        <a:xfrm>
          <a:off x="394920" y="6297840"/>
          <a:ext cx="360" cy="17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523800</xdr:colOff>
      <xdr:row>33</xdr:row>
      <xdr:rowOff>28440</xdr:rowOff>
    </xdr:from>
    <xdr:to>
      <xdr:col>0</xdr:col>
      <xdr:colOff>1314000</xdr:colOff>
      <xdr:row>35</xdr:row>
      <xdr:rowOff>188640</xdr:rowOff>
    </xdr:to>
    <xdr:pic>
      <xdr:nvPicPr>
        <xdr:cNvPr id="6" name="Picture 1"/>
        <xdr:cNvPicPr/>
      </xdr:nvPicPr>
      <xdr:blipFill>
        <a:blip r:embed="rId6"/>
        <a:stretch/>
      </xdr:blipFill>
      <xdr:spPr>
        <a:xfrm>
          <a:off x="523800" y="6300360"/>
          <a:ext cx="790200" cy="57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dorm%20final%20bago2026%20(2)%20(1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 ROOM"/>
      <sheetName val="PAYMENT RECORD"/>
      <sheetName val="PEKE"/>
      <sheetName val="TOTOO"/>
      <sheetName val="2026 per application "/>
      <sheetName val="room 2026"/>
      <sheetName val="admission slip"/>
      <sheetName val="automated room assignment"/>
      <sheetName val="TO REMIT"/>
      <sheetName val="alphabethical"/>
      <sheetName val="Sheet2"/>
      <sheetName val="remited may 26"/>
    </sheetNames>
    <sheetDataSet>
      <sheetData sheetId="0"/>
      <sheetData sheetId="1"/>
      <sheetData sheetId="2"/>
      <sheetData sheetId="3"/>
      <sheetData sheetId="4">
        <row r="2">
          <cell r="B2" t="str">
            <v>2026-01-16-01</v>
          </cell>
          <cell r="C2" t="str">
            <v>B14</v>
          </cell>
          <cell r="D2" t="str">
            <v>DAVID</v>
          </cell>
          <cell r="E2" t="str">
            <v>ALLAN</v>
          </cell>
          <cell r="F2" t="str">
            <v>SANTOS</v>
          </cell>
          <cell r="G2" t="str">
            <v>CASIGURAN</v>
          </cell>
          <cell r="H2">
            <v>9702400868</v>
          </cell>
          <cell r="I2">
            <v>9083358762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7" activeCellId="0" sqref="L1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33.43"/>
    <col collapsed="false" customWidth="true" hidden="false" outlineLevel="0" max="3" min="3" style="0" width="5"/>
    <col collapsed="false" customWidth="true" hidden="false" outlineLevel="0" max="4" min="4" style="0" width="10.57"/>
    <col collapsed="false" customWidth="true" hidden="false" outlineLevel="0" max="5" min="5" style="0" width="9.71"/>
    <col collapsed="false" customWidth="true" hidden="false" outlineLevel="0" max="6" min="6" style="0" width="19.86"/>
  </cols>
  <sheetData>
    <row r="2" customFormat="false" ht="16.15" hidden="false" customHeight="false" outlineLevel="0" collapsed="false">
      <c r="A2" s="1" t="s">
        <v>0</v>
      </c>
      <c r="B2" s="1"/>
      <c r="C2" s="1"/>
      <c r="D2" s="1"/>
      <c r="E2" s="1"/>
      <c r="F2" s="1"/>
    </row>
    <row r="3" customFormat="false" ht="16.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6.75" hidden="false" customHeight="true" outlineLevel="0" collapsed="false">
      <c r="A5" s="4"/>
    </row>
    <row r="6" customFormat="false" ht="33.85" hidden="false" customHeight="false" outlineLevel="0" collapsed="false">
      <c r="A6" s="5" t="s">
        <v>3</v>
      </c>
      <c r="B6" s="5"/>
      <c r="C6" s="5"/>
      <c r="D6" s="5"/>
      <c r="E6" s="5"/>
      <c r="F6" s="5"/>
      <c r="K6" s="6"/>
      <c r="L6" s="6"/>
      <c r="M6" s="6"/>
      <c r="N6" s="6"/>
      <c r="O6" s="6"/>
      <c r="P6" s="6"/>
    </row>
    <row r="7" customFormat="false" ht="19.7" hidden="false" customHeight="false" outlineLevel="0" collapsed="false">
      <c r="A7" s="7" t="s">
        <v>4</v>
      </c>
      <c r="B7" s="7"/>
      <c r="C7" s="7"/>
      <c r="D7" s="7"/>
      <c r="E7" s="7"/>
      <c r="F7" s="7"/>
      <c r="K7" s="8"/>
      <c r="L7" s="8"/>
      <c r="M7" s="8"/>
      <c r="N7" s="8"/>
      <c r="O7" s="8"/>
      <c r="P7" s="8"/>
    </row>
    <row r="8" customFormat="false" ht="8.25" hidden="false" customHeight="true" outlineLevel="0" collapsed="false">
      <c r="A8" s="9"/>
      <c r="B8" s="9"/>
      <c r="C8" s="9"/>
      <c r="D8" s="9"/>
      <c r="E8" s="9"/>
      <c r="F8" s="9"/>
    </row>
    <row r="9" customFormat="false" ht="15.75" hidden="false" customHeight="false" outlineLevel="0" collapsed="false">
      <c r="A9" s="10" t="s">
        <v>5</v>
      </c>
      <c r="B9" s="10"/>
      <c r="C9" s="10"/>
      <c r="D9" s="10"/>
      <c r="E9" s="10"/>
      <c r="F9" s="10"/>
    </row>
    <row r="10" customFormat="false" ht="9.75" hidden="false" customHeight="true" outlineLevel="0" collapsed="false">
      <c r="A10" s="11"/>
      <c r="B10" s="11"/>
      <c r="C10" s="11"/>
      <c r="D10" s="11"/>
      <c r="E10" s="11"/>
      <c r="F10" s="11"/>
    </row>
    <row r="11" s="16" customFormat="true" ht="15" hidden="false" customHeight="false" outlineLevel="0" collapsed="false">
      <c r="A11" s="12" t="s">
        <v>6</v>
      </c>
      <c r="B11" s="13" t="n">
        <f aca="false">'[1]2026 per application '!A2</f>
        <v>0</v>
      </c>
      <c r="C11" s="14"/>
      <c r="D11" s="15" t="s">
        <v>7</v>
      </c>
      <c r="F11" s="17" t="str">
        <f aca="false">'[1]2026 per application '!B2</f>
        <v>2026-01-16-01</v>
      </c>
    </row>
    <row r="12" s="16" customFormat="true" ht="15" hidden="false" customHeight="false" outlineLevel="0" collapsed="false">
      <c r="A12" s="15" t="s">
        <v>8</v>
      </c>
      <c r="B12" s="18" t="s">
        <v>9</v>
      </c>
      <c r="D12" s="15" t="s">
        <v>10</v>
      </c>
      <c r="F12" s="18" t="str">
        <f aca="false">'[1]2026 per application '!C2</f>
        <v>B14</v>
      </c>
    </row>
    <row r="13" s="16" customFormat="true" ht="15" hidden="false" customHeight="false" outlineLevel="0" collapsed="false">
      <c r="A13" s="19" t="s">
        <v>11</v>
      </c>
      <c r="B13" s="20" t="n">
        <v>2026</v>
      </c>
    </row>
    <row r="14" s="16" customFormat="true" ht="15" hidden="false" customHeight="false" outlineLevel="0" collapsed="false">
      <c r="A14" s="15" t="s">
        <v>12</v>
      </c>
      <c r="B14" s="13" t="n">
        <f aca="false">B11</f>
        <v>0</v>
      </c>
      <c r="C14" s="19" t="s">
        <v>13</v>
      </c>
      <c r="D14" s="21" t="n">
        <v>46173</v>
      </c>
      <c r="E14" s="21"/>
      <c r="F14" s="21"/>
    </row>
    <row r="15" s="16" customFormat="true" ht="15" hidden="false" customHeight="false" outlineLevel="0" collapsed="false">
      <c r="A15" s="15"/>
    </row>
    <row r="16" s="16" customFormat="true" ht="15" hidden="false" customHeight="false" outlineLevel="0" collapsed="false">
      <c r="A16" s="15" t="s">
        <v>14</v>
      </c>
      <c r="B16" s="18" t="str">
        <f aca="false">'[1]2026 per application '!D2</f>
        <v>DAVID</v>
      </c>
      <c r="C16" s="15" t="s">
        <v>15</v>
      </c>
      <c r="E16" s="22" t="str">
        <f aca="false">'[1]2026 per application '!G2</f>
        <v>CASIGURAN</v>
      </c>
      <c r="F16" s="22"/>
    </row>
    <row r="17" s="16" customFormat="true" ht="15" hidden="false" customHeight="false" outlineLevel="0" collapsed="false">
      <c r="A17" s="15" t="s">
        <v>16</v>
      </c>
      <c r="B17" s="18" t="str">
        <f aca="false">'[1]2026 per application '!E2</f>
        <v>ALLAN</v>
      </c>
      <c r="C17" s="19" t="s">
        <v>17</v>
      </c>
      <c r="D17" s="19"/>
      <c r="E17" s="22" t="n">
        <f aca="false">'[1]2026 per application '!H2</f>
        <v>9702400868</v>
      </c>
      <c r="F17" s="22"/>
    </row>
    <row r="18" s="16" customFormat="true" ht="15" hidden="false" customHeight="false" outlineLevel="0" collapsed="false">
      <c r="A18" s="15" t="s">
        <v>18</v>
      </c>
      <c r="B18" s="18" t="str">
        <f aca="false">'[1]2026 per application '!F2</f>
        <v>SANTOS</v>
      </c>
      <c r="C18" s="19" t="s">
        <v>19</v>
      </c>
      <c r="D18" s="19"/>
      <c r="E18" s="23" t="n">
        <f aca="false">'[1]2026 per application '!I2</f>
        <v>9083358762</v>
      </c>
      <c r="F18" s="23"/>
    </row>
    <row r="19" s="16" customFormat="true" ht="15" hidden="false" customHeight="false" outlineLevel="0" collapsed="false">
      <c r="A19" s="15"/>
      <c r="B19" s="24"/>
      <c r="C19" s="19"/>
      <c r="D19" s="19"/>
      <c r="E19" s="19"/>
      <c r="F19" s="19"/>
    </row>
    <row r="20" customFormat="false" ht="7.5" hidden="false" customHeight="true" outlineLevel="0" collapsed="false">
      <c r="A20" s="25"/>
    </row>
    <row r="21" customFormat="false" ht="15" hidden="false" customHeight="false" outlineLevel="0" collapsed="false">
      <c r="A21" s="26" t="s">
        <v>20</v>
      </c>
      <c r="C21" s="14" t="s">
        <v>21</v>
      </c>
    </row>
    <row r="22" customFormat="false" ht="15" hidden="false" customHeight="false" outlineLevel="0" collapsed="false">
      <c r="A22" s="26" t="s">
        <v>22</v>
      </c>
    </row>
    <row r="23" customFormat="false" ht="15" hidden="false" customHeight="false" outlineLevel="0" collapsed="false">
      <c r="A23" s="27"/>
    </row>
    <row r="24" customFormat="false" ht="15" hidden="false" customHeight="false" outlineLevel="0" collapsed="false">
      <c r="A24" s="28" t="s">
        <v>23</v>
      </c>
      <c r="B24" s="28"/>
      <c r="C24" s="14" t="s">
        <v>24</v>
      </c>
    </row>
    <row r="25" customFormat="false" ht="15" hidden="false" customHeight="false" outlineLevel="0" collapsed="false">
      <c r="A25" s="29" t="s">
        <v>25</v>
      </c>
      <c r="C25" s="30" t="s">
        <v>26</v>
      </c>
    </row>
    <row r="26" customFormat="false" ht="15" hidden="false" customHeight="false" outlineLevel="0" collapsed="false">
      <c r="A26" s="31" t="n">
        <f aca="false">B11</f>
        <v>0</v>
      </c>
      <c r="B26" s="31"/>
      <c r="C26" s="32" t="n">
        <f aca="false">B11</f>
        <v>0</v>
      </c>
      <c r="D26" s="32"/>
      <c r="E26" s="32"/>
    </row>
    <row r="27" customFormat="false" ht="15" hidden="false" customHeight="false" outlineLevel="0" collapsed="false">
      <c r="A27" s="33"/>
      <c r="C27" s="34" t="s">
        <v>27</v>
      </c>
    </row>
    <row r="28" customFormat="false" ht="15" hidden="false" customHeight="false" outlineLevel="0" collapsed="false">
      <c r="A28" s="35"/>
    </row>
    <row r="29" customFormat="false" ht="15" hidden="false" customHeight="false" outlineLevel="0" collapsed="false">
      <c r="A29" s="35"/>
    </row>
    <row r="30" customFormat="false" ht="15" hidden="false" customHeight="false" outlineLevel="0" collapsed="false">
      <c r="A30" s="36"/>
      <c r="B30" s="37"/>
      <c r="C30" s="37"/>
      <c r="D30" s="37"/>
      <c r="E30" s="37"/>
      <c r="F30" s="37"/>
    </row>
    <row r="31" customFormat="false" ht="15" hidden="false" customHeight="false" outlineLevel="0" collapsed="false">
      <c r="A31" s="38"/>
    </row>
    <row r="34" customFormat="false" ht="16.15" hidden="false" customHeight="false" outlineLevel="0" collapsed="false">
      <c r="A34" s="1" t="s">
        <v>0</v>
      </c>
      <c r="B34" s="1"/>
      <c r="C34" s="1"/>
      <c r="D34" s="1"/>
      <c r="E34" s="1"/>
      <c r="F34" s="1"/>
    </row>
    <row r="35" customFormat="false" ht="16.15" hidden="false" customHeight="false" outlineLevel="0" collapsed="false">
      <c r="A35" s="2" t="s">
        <v>1</v>
      </c>
      <c r="B35" s="2"/>
      <c r="C35" s="2"/>
      <c r="D35" s="2"/>
      <c r="E35" s="2"/>
      <c r="F35" s="2"/>
    </row>
    <row r="36" customFormat="false" ht="15" hidden="false" customHeight="false" outlineLevel="0" collapsed="false">
      <c r="A36" s="3" t="s">
        <v>2</v>
      </c>
      <c r="B36" s="3"/>
      <c r="C36" s="3"/>
      <c r="D36" s="3"/>
      <c r="E36" s="3"/>
      <c r="F36" s="3"/>
    </row>
    <row r="37" customFormat="false" ht="6.75" hidden="false" customHeight="true" outlineLevel="0" collapsed="false">
      <c r="A37" s="4"/>
    </row>
    <row r="38" customFormat="false" ht="33.85" hidden="false" customHeight="false" outlineLevel="0" collapsed="false">
      <c r="A38" s="5" t="s">
        <v>3</v>
      </c>
      <c r="B38" s="5"/>
      <c r="C38" s="5"/>
      <c r="D38" s="5"/>
      <c r="E38" s="5"/>
      <c r="F38" s="5"/>
      <c r="K38" s="6"/>
      <c r="L38" s="6"/>
      <c r="M38" s="6"/>
      <c r="N38" s="6"/>
      <c r="O38" s="6"/>
      <c r="P38" s="6"/>
    </row>
    <row r="39" customFormat="false" ht="19.7" hidden="false" customHeight="false" outlineLevel="0" collapsed="false">
      <c r="A39" s="7" t="s">
        <v>4</v>
      </c>
      <c r="B39" s="7"/>
      <c r="C39" s="7"/>
      <c r="D39" s="7"/>
      <c r="E39" s="7"/>
      <c r="F39" s="7"/>
      <c r="K39" s="8"/>
      <c r="L39" s="8"/>
      <c r="M39" s="8"/>
      <c r="N39" s="8"/>
      <c r="O39" s="8"/>
      <c r="P39" s="8"/>
    </row>
    <row r="40" customFormat="false" ht="8.25" hidden="false" customHeight="true" outlineLevel="0" collapsed="false">
      <c r="A40" s="9"/>
      <c r="B40" s="9"/>
      <c r="C40" s="9"/>
      <c r="D40" s="9"/>
      <c r="E40" s="9"/>
      <c r="F40" s="9"/>
    </row>
    <row r="41" customFormat="false" ht="15.75" hidden="false" customHeight="false" outlineLevel="0" collapsed="false">
      <c r="A41" s="10" t="s">
        <v>5</v>
      </c>
      <c r="B41" s="10"/>
      <c r="C41" s="10"/>
      <c r="D41" s="10"/>
      <c r="E41" s="10"/>
      <c r="F41" s="10"/>
    </row>
    <row r="42" customFormat="false" ht="9.75" hidden="false" customHeight="true" outlineLevel="0" collapsed="false">
      <c r="A42" s="11"/>
      <c r="B42" s="11"/>
      <c r="C42" s="11"/>
      <c r="D42" s="11"/>
      <c r="E42" s="11"/>
      <c r="F42" s="11"/>
    </row>
    <row r="43" s="16" customFormat="true" ht="15" hidden="false" customHeight="false" outlineLevel="0" collapsed="false">
      <c r="A43" s="12" t="s">
        <v>6</v>
      </c>
      <c r="B43" s="13" t="n">
        <f aca="false">B11</f>
        <v>0</v>
      </c>
      <c r="C43" s="14"/>
      <c r="D43" s="15" t="s">
        <v>7</v>
      </c>
      <c r="F43" s="17" t="str">
        <f aca="false">F11</f>
        <v>2026-01-16-01</v>
      </c>
    </row>
    <row r="44" s="16" customFormat="true" ht="15" hidden="false" customHeight="false" outlineLevel="0" collapsed="false">
      <c r="A44" s="15" t="s">
        <v>8</v>
      </c>
      <c r="B44" s="18" t="s">
        <v>9</v>
      </c>
      <c r="D44" s="15" t="s">
        <v>10</v>
      </c>
      <c r="F44" s="18" t="str">
        <f aca="false">F12</f>
        <v>B14</v>
      </c>
    </row>
    <row r="45" s="16" customFormat="true" ht="15" hidden="false" customHeight="false" outlineLevel="0" collapsed="false">
      <c r="A45" s="19" t="s">
        <v>11</v>
      </c>
      <c r="B45" s="20" t="n">
        <v>2026</v>
      </c>
    </row>
    <row r="46" s="16" customFormat="true" ht="15" hidden="false" customHeight="false" outlineLevel="0" collapsed="false">
      <c r="A46" s="15" t="s">
        <v>12</v>
      </c>
      <c r="B46" s="13" t="n">
        <f aca="false">B43</f>
        <v>0</v>
      </c>
      <c r="C46" s="19" t="s">
        <v>13</v>
      </c>
      <c r="D46" s="21" t="n">
        <v>46173</v>
      </c>
      <c r="E46" s="21"/>
      <c r="F46" s="21"/>
    </row>
    <row r="47" s="16" customFormat="true" ht="15" hidden="false" customHeight="false" outlineLevel="0" collapsed="false">
      <c r="A47" s="27"/>
    </row>
    <row r="48" s="16" customFormat="true" ht="15" hidden="false" customHeight="false" outlineLevel="0" collapsed="false">
      <c r="A48" s="15" t="s">
        <v>14</v>
      </c>
      <c r="B48" s="18" t="str">
        <f aca="false">B16</f>
        <v>DAVID</v>
      </c>
      <c r="C48" s="15" t="s">
        <v>15</v>
      </c>
      <c r="E48" s="22" t="str">
        <f aca="false">E16</f>
        <v>CASIGURAN</v>
      </c>
      <c r="F48" s="22"/>
    </row>
    <row r="49" s="16" customFormat="true" ht="15" hidden="false" customHeight="false" outlineLevel="0" collapsed="false">
      <c r="A49" s="15" t="s">
        <v>16</v>
      </c>
      <c r="B49" s="18" t="str">
        <f aca="false">B17</f>
        <v>ALLAN</v>
      </c>
      <c r="C49" s="19" t="s">
        <v>17</v>
      </c>
      <c r="D49" s="19"/>
      <c r="E49" s="22" t="n">
        <f aca="false">E17</f>
        <v>9702400868</v>
      </c>
      <c r="F49" s="22"/>
    </row>
    <row r="50" s="16" customFormat="true" ht="15" hidden="false" customHeight="false" outlineLevel="0" collapsed="false">
      <c r="A50" s="15" t="s">
        <v>18</v>
      </c>
      <c r="B50" s="18" t="str">
        <f aca="false">B18</f>
        <v>SANTOS</v>
      </c>
      <c r="C50" s="19" t="s">
        <v>19</v>
      </c>
      <c r="D50" s="19"/>
      <c r="E50" s="23" t="n">
        <f aca="false">E18</f>
        <v>9083358762</v>
      </c>
      <c r="F50" s="23"/>
    </row>
    <row r="51" s="16" customFormat="true" ht="15" hidden="false" customHeight="false" outlineLevel="0" collapsed="false">
      <c r="A51" s="27"/>
      <c r="B51" s="24"/>
      <c r="C51" s="19"/>
      <c r="D51" s="19"/>
      <c r="E51" s="19"/>
      <c r="F51" s="19"/>
    </row>
    <row r="52" customFormat="false" ht="7.5" hidden="false" customHeight="true" outlineLevel="0" collapsed="false">
      <c r="A52" s="39"/>
    </row>
    <row r="53" customFormat="false" ht="15" hidden="false" customHeight="false" outlineLevel="0" collapsed="false">
      <c r="A53" s="26" t="s">
        <v>20</v>
      </c>
      <c r="C53" s="14" t="s">
        <v>21</v>
      </c>
    </row>
    <row r="54" customFormat="false" ht="15" hidden="false" customHeight="false" outlineLevel="0" collapsed="false">
      <c r="A54" s="26" t="s">
        <v>22</v>
      </c>
    </row>
    <row r="55" customFormat="false" ht="15" hidden="false" customHeight="false" outlineLevel="0" collapsed="false">
      <c r="A55" s="27"/>
    </row>
    <row r="56" customFormat="false" ht="15" hidden="false" customHeight="false" outlineLevel="0" collapsed="false">
      <c r="A56" s="28" t="s">
        <v>23</v>
      </c>
      <c r="B56" s="28"/>
      <c r="C56" s="14" t="s">
        <v>24</v>
      </c>
    </row>
    <row r="57" customFormat="false" ht="15" hidden="false" customHeight="false" outlineLevel="0" collapsed="false">
      <c r="A57" s="29" t="s">
        <v>25</v>
      </c>
      <c r="C57" s="30" t="s">
        <v>26</v>
      </c>
    </row>
    <row r="58" customFormat="false" ht="15" hidden="false" customHeight="false" outlineLevel="0" collapsed="false">
      <c r="A58" s="31" t="n">
        <f aca="false">B43</f>
        <v>0</v>
      </c>
      <c r="B58" s="31"/>
      <c r="C58" s="32" t="n">
        <f aca="false">B43</f>
        <v>0</v>
      </c>
      <c r="D58" s="32"/>
      <c r="E58" s="32"/>
    </row>
    <row r="59" customFormat="false" ht="15" hidden="false" customHeight="false" outlineLevel="0" collapsed="false">
      <c r="A59" s="34" t="s">
        <v>28</v>
      </c>
    </row>
  </sheetData>
  <mergeCells count="32">
    <mergeCell ref="A2:F2"/>
    <mergeCell ref="A3:F3"/>
    <mergeCell ref="A4:F4"/>
    <mergeCell ref="A6:F6"/>
    <mergeCell ref="K6:P6"/>
    <mergeCell ref="A7:F7"/>
    <mergeCell ref="K7:P7"/>
    <mergeCell ref="A8:F8"/>
    <mergeCell ref="A9:F9"/>
    <mergeCell ref="D14:F14"/>
    <mergeCell ref="E16:F16"/>
    <mergeCell ref="E17:F17"/>
    <mergeCell ref="E18:F18"/>
    <mergeCell ref="A24:B24"/>
    <mergeCell ref="A26:B26"/>
    <mergeCell ref="C26:E26"/>
    <mergeCell ref="A34:F34"/>
    <mergeCell ref="A35:F35"/>
    <mergeCell ref="A36:F36"/>
    <mergeCell ref="A38:F38"/>
    <mergeCell ref="K38:P38"/>
    <mergeCell ref="A39:F39"/>
    <mergeCell ref="K39:P39"/>
    <mergeCell ref="A40:F40"/>
    <mergeCell ref="A41:F41"/>
    <mergeCell ref="D46:F46"/>
    <mergeCell ref="E48:F48"/>
    <mergeCell ref="E49:F49"/>
    <mergeCell ref="E50:F50"/>
    <mergeCell ref="A56:B56"/>
    <mergeCell ref="A58:B58"/>
    <mergeCell ref="C58:E5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2026-06-04T07:36:47Z</dcterms:created>
  <dc:creator>Allan David</dc:creator>
  <dc:description/>
  <dc:language>en-PH</dc:language>
  <cp:lastModifiedBy>Allan David</cp:lastModifiedBy>
  <dcterms:modified xsi:type="dcterms:W3CDTF">2026-06-04T07:37:10Z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